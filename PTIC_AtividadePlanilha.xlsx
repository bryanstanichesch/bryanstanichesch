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tecVAV\Documents\"/>
    </mc:Choice>
  </mc:AlternateContent>
  <bookViews>
    <workbookView xWindow="0" yWindow="0" windowWidth="11490" windowHeight="4485"/>
  </bookViews>
  <sheets>
    <sheet name="Execício 1" sheetId="3" r:id="rId1"/>
    <sheet name="Exercício 2" sheetId="2" r:id="rId2"/>
    <sheet name="Exercício 3" sheetId="1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7" i="1" l="1"/>
  <c r="C18" i="1" s="1"/>
  <c r="C19" i="1" s="1"/>
  <c r="D17" i="1"/>
  <c r="D18" i="1" s="1"/>
  <c r="D19" i="1" s="1"/>
  <c r="E17" i="1"/>
  <c r="E18" i="1" s="1"/>
  <c r="E19" i="1" s="1"/>
  <c r="B17" i="1"/>
  <c r="B18" i="1" s="1"/>
  <c r="B19" i="1" s="1"/>
  <c r="F10" i="1"/>
  <c r="F11" i="1"/>
  <c r="F12" i="1"/>
  <c r="F13" i="1"/>
  <c r="F14" i="1"/>
  <c r="F9" i="1"/>
  <c r="F15" i="1" s="1"/>
  <c r="F5" i="1"/>
  <c r="F22" i="3"/>
  <c r="F4" i="2"/>
  <c r="G4" i="2"/>
  <c r="H4" i="2" s="1"/>
  <c r="F5" i="2"/>
  <c r="G5" i="2"/>
  <c r="H5" i="2"/>
  <c r="F6" i="2"/>
  <c r="G6" i="2"/>
  <c r="H6" i="2"/>
  <c r="F7" i="2"/>
  <c r="G7" i="2"/>
  <c r="H7" i="2" s="1"/>
  <c r="F8" i="2"/>
  <c r="G8" i="2"/>
  <c r="H8" i="2" s="1"/>
  <c r="F9" i="2"/>
  <c r="G9" i="2"/>
  <c r="H9" i="2"/>
  <c r="F10" i="2"/>
  <c r="G10" i="2"/>
  <c r="H10" i="2"/>
  <c r="F11" i="2"/>
  <c r="H11" i="2" s="1"/>
  <c r="G11" i="2"/>
  <c r="F19" i="3" l="1"/>
  <c r="F10" i="3"/>
  <c r="D19" i="3" l="1"/>
  <c r="E19" i="3"/>
  <c r="C19" i="3"/>
  <c r="D10" i="3"/>
  <c r="E10" i="3"/>
  <c r="C10" i="3"/>
  <c r="I14" i="3"/>
  <c r="I15" i="3"/>
  <c r="I16" i="3"/>
  <c r="I17" i="3"/>
  <c r="I18" i="3"/>
  <c r="I13" i="3"/>
  <c r="H16" i="3"/>
  <c r="H14" i="3"/>
  <c r="H15" i="3"/>
  <c r="H17" i="3"/>
  <c r="H18" i="3"/>
  <c r="H13" i="3"/>
  <c r="I5" i="3"/>
  <c r="I6" i="3"/>
  <c r="I7" i="3"/>
  <c r="I8" i="3"/>
  <c r="I9" i="3"/>
  <c r="I4" i="3"/>
  <c r="H5" i="3"/>
  <c r="H6" i="3"/>
  <c r="H7" i="3"/>
  <c r="H8" i="3"/>
  <c r="H9" i="3"/>
  <c r="H4" i="3"/>
  <c r="G14" i="3"/>
  <c r="G15" i="3"/>
  <c r="G16" i="3"/>
  <c r="G17" i="3"/>
  <c r="G18" i="3"/>
  <c r="G13" i="3"/>
  <c r="G7" i="3"/>
  <c r="G5" i="3"/>
  <c r="G6" i="3"/>
  <c r="G8" i="3"/>
  <c r="G9" i="3"/>
  <c r="G4" i="3"/>
  <c r="F14" i="3"/>
  <c r="F15" i="3"/>
  <c r="F16" i="3"/>
  <c r="F17" i="3"/>
  <c r="F18" i="3"/>
  <c r="F13" i="3"/>
  <c r="F6" i="3"/>
  <c r="F7" i="3"/>
  <c r="F8" i="3"/>
  <c r="F9" i="3"/>
  <c r="F5" i="3"/>
  <c r="F4" i="3"/>
</calcChain>
</file>

<file path=xl/sharedStrings.xml><?xml version="1.0" encoding="utf-8"?>
<sst xmlns="http://schemas.openxmlformats.org/spreadsheetml/2006/main" count="107" uniqueCount="83">
  <si>
    <t xml:space="preserve">Jan-Mar </t>
  </si>
  <si>
    <t xml:space="preserve">Abr-Jun </t>
  </si>
  <si>
    <t xml:space="preserve">Jul-Set </t>
  </si>
  <si>
    <t xml:space="preserve">Out-Dez </t>
  </si>
  <si>
    <t xml:space="preserve">Total do Ano </t>
  </si>
  <si>
    <t xml:space="preserve">Despesa Líquida </t>
  </si>
  <si>
    <t xml:space="preserve">Salários </t>
  </si>
  <si>
    <t xml:space="preserve">Juros </t>
  </si>
  <si>
    <t xml:space="preserve">Aluguel </t>
  </si>
  <si>
    <t xml:space="preserve">Propaganda </t>
  </si>
  <si>
    <t xml:space="preserve">Suprimentos </t>
  </si>
  <si>
    <t xml:space="preserve">Diversos </t>
  </si>
  <si>
    <t xml:space="preserve">Total do Trim. </t>
  </si>
  <si>
    <t xml:space="preserve">Receita líquida </t>
  </si>
  <si>
    <t xml:space="preserve">Situação </t>
  </si>
  <si>
    <t>Valor Acumulado do ano de despesas</t>
  </si>
  <si>
    <t xml:space="preserve">Orientações: </t>
  </si>
  <si>
    <t>Total do Ano Receita Bruta: Soma das receitas anuais.</t>
  </si>
  <si>
    <t>Total do Ano Despesa Líquida: Soma das despesas anuais.</t>
  </si>
  <si>
    <t>Total do Trimestre: Soma das despesas trimestrais.</t>
  </si>
  <si>
    <t>Receita Líquida: Receita Bruta menos Total do Trimestre.</t>
  </si>
  <si>
    <t>Valor Acumulado do ano de despesas: Soma do Total do Ano de Despesas</t>
  </si>
  <si>
    <t>Situação: Se Receita Líquida for menor que R$ 1.000,00, "Prejuízo Total";</t>
  </si>
  <si>
    <t>Se Receita Líquida for menor que R$ 5.000,00, "Lucro Médio";</t>
  </si>
  <si>
    <t>Se Receita Líquida for maior que R$ 5.000,00, "Lucro Total'.</t>
  </si>
  <si>
    <t>Projeção da Empresa Nacional S/A - 2024</t>
  </si>
  <si>
    <t>Empresa Nacional S/A</t>
  </si>
  <si>
    <t xml:space="preserve">Nº </t>
  </si>
  <si>
    <t xml:space="preserve">NOME </t>
  </si>
  <si>
    <t xml:space="preserve">Salário Bruto </t>
  </si>
  <si>
    <t xml:space="preserve">INSS </t>
  </si>
  <si>
    <t xml:space="preserve">Gratificação </t>
  </si>
  <si>
    <t xml:space="preserve">INSS R$ </t>
  </si>
  <si>
    <t xml:space="preserve">Gratificação R$ </t>
  </si>
  <si>
    <t xml:space="preserve">Salário Líquido </t>
  </si>
  <si>
    <t xml:space="preserve">Eduardo </t>
  </si>
  <si>
    <t xml:space="preserve">Maria </t>
  </si>
  <si>
    <t xml:space="preserve">Helena </t>
  </si>
  <si>
    <t xml:space="preserve">Gabriela </t>
  </si>
  <si>
    <t xml:space="preserve">Edson </t>
  </si>
  <si>
    <t xml:space="preserve">Elisangela </t>
  </si>
  <si>
    <t xml:space="preserve">Regina </t>
  </si>
  <si>
    <t xml:space="preserve">Paulo </t>
  </si>
  <si>
    <t>INSS R$: multiplicar Salário Bruto por INSS.</t>
  </si>
  <si>
    <t>Gratificação R$: multiplicar Salário Bruto por Gratificação.</t>
  </si>
  <si>
    <t>Salário Líquido: Salário Bruto mais Gratificação R$ menos INSS R$.</t>
  </si>
  <si>
    <t>Formatar os números para que eles apareçam de acordo com a planilha dada.</t>
  </si>
  <si>
    <t xml:space="preserve">Código </t>
  </si>
  <si>
    <t xml:space="preserve">Produto </t>
  </si>
  <si>
    <t>Jan</t>
  </si>
  <si>
    <t>Fev</t>
  </si>
  <si>
    <t>Mar</t>
  </si>
  <si>
    <t>Total 1º Trim.</t>
  </si>
  <si>
    <t>Máximo</t>
  </si>
  <si>
    <t>Mínimo</t>
  </si>
  <si>
    <t>Média</t>
  </si>
  <si>
    <t xml:space="preserve">Porca </t>
  </si>
  <si>
    <t xml:space="preserve">Parafuso </t>
  </si>
  <si>
    <t xml:space="preserve">Arruela </t>
  </si>
  <si>
    <t xml:space="preserve">Prego </t>
  </si>
  <si>
    <t xml:space="preserve">Alicate </t>
  </si>
  <si>
    <t xml:space="preserve">Martelo </t>
  </si>
  <si>
    <t>Totais</t>
  </si>
  <si>
    <t>Abr</t>
  </si>
  <si>
    <t>Mai</t>
  </si>
  <si>
    <t>Jun</t>
  </si>
  <si>
    <t>Total 2º Trim.</t>
  </si>
  <si>
    <t>1ª Tabela:</t>
  </si>
  <si>
    <t>Total 1º Trimestre: soma das vendas dos meses de Jan / Fev / Mar.</t>
  </si>
  <si>
    <t>Máximo: calcular o maior valor entre os meses de Jan / Fev / Mar.</t>
  </si>
  <si>
    <t>Mínimo: calcular o menor valor entre os meses de Jan / Fev / Mar.</t>
  </si>
  <si>
    <t>Média: calcular a média dos valores entre os meses de Jan / Fev / Mar.</t>
  </si>
  <si>
    <t>2ª Tabela:</t>
  </si>
  <si>
    <t>Total 2º Trimestre: soma das vendas dos meses de Abr / Mai / Jun.</t>
  </si>
  <si>
    <t>Máximo: calcular o maior valor entre os meses de Abr / Mai / Jun.</t>
  </si>
  <si>
    <t>Mínimo: calcular o menor valor entre os meses de Abr / Mai / Jun.</t>
  </si>
  <si>
    <t>Média: calcular a média dos valores entre os meses de Abr / Mai / Jun.</t>
  </si>
  <si>
    <t>Totais: soma das colunas de cada mês (1ª e 2ª tabela).</t>
  </si>
  <si>
    <t>Total do Semestre: soma dos totais de cada trimestre.</t>
  </si>
  <si>
    <t xml:space="preserve">Total Semestre </t>
  </si>
  <si>
    <t xml:space="preserve">Receita Bruta </t>
  </si>
  <si>
    <t>BRYAN STANICHESCH RODRIGUES</t>
  </si>
  <si>
    <t>1°C1  BEATRIZ EMANUELLE R.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</si>
</sst>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&quot;R$&quot;\ #,##0.00"/>
  </numFmts>
  <fonts count="23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8"/>
      <color theme="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4"/>
      <color theme="0"/>
      <name val="Times New Roman"/>
      <family val="1"/>
    </font>
    <font>
      <b/>
      <sz val="20"/>
      <color theme="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4"/>
      <color theme="0"/>
      <name val="Times New Roman"/>
      <family val="1"/>
    </font>
    <font>
      <b/>
      <sz val="12"/>
      <color theme="6" tint="-0.499984740745262"/>
      <name val="Times New Roman"/>
      <family val="1"/>
    </font>
    <font>
      <b/>
      <sz val="12"/>
      <color theme="5" tint="-0.499984740745262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B3B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37">
    <xf numFmtId="0" fontId="0" fillId="0" borderId="0" xfId="0"/>
    <xf numFmtId="0" fontId="5" fillId="0" borderId="0" xfId="0" applyFont="1"/>
    <xf numFmtId="0" fontId="4" fillId="0" borderId="0" xfId="0" applyFont="1"/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4" fillId="0" borderId="0" xfId="0" applyFont="1" applyBorder="1"/>
    <xf numFmtId="4" fontId="5" fillId="0" borderId="0" xfId="0" applyNumberFormat="1" applyFont="1"/>
    <xf numFmtId="0" fontId="3" fillId="0" borderId="0" xfId="0" applyFont="1" applyBorder="1" applyAlignme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0" fillId="0" borderId="0" xfId="0" applyAlignment="1"/>
    <xf numFmtId="0" fontId="0" fillId="0" borderId="0" xfId="0" applyBorder="1"/>
    <xf numFmtId="0" fontId="3" fillId="5" borderId="0" xfId="0" applyFont="1" applyFill="1" applyBorder="1" applyAlignment="1">
      <alignment horizontal="center"/>
    </xf>
    <xf numFmtId="4" fontId="1" fillId="0" borderId="0" xfId="0" applyNumberFormat="1" applyFont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165" fontId="8" fillId="5" borderId="1" xfId="1" applyNumberFormat="1" applyFont="1" applyFill="1" applyBorder="1" applyAlignment="1">
      <alignment horizontal="center" vertical="top" wrapText="1"/>
    </xf>
    <xf numFmtId="165" fontId="9" fillId="0" borderId="1" xfId="1" applyNumberFormat="1" applyFont="1" applyBorder="1" applyAlignment="1">
      <alignment horizontal="center"/>
    </xf>
    <xf numFmtId="165" fontId="9" fillId="0" borderId="0" xfId="1" applyNumberFormat="1" applyFont="1" applyBorder="1" applyAlignment="1">
      <alignment horizontal="center"/>
    </xf>
    <xf numFmtId="0" fontId="12" fillId="0" borderId="0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top" wrapText="1"/>
    </xf>
    <xf numFmtId="4" fontId="13" fillId="0" borderId="0" xfId="0" applyNumberFormat="1" applyFont="1" applyBorder="1" applyAlignment="1">
      <alignment horizontal="center" vertical="top" wrapText="1"/>
    </xf>
    <xf numFmtId="0" fontId="14" fillId="0" borderId="0" xfId="0" applyFont="1" applyBorder="1" applyAlignment="1">
      <alignment horizontal="center"/>
    </xf>
    <xf numFmtId="0" fontId="8" fillId="0" borderId="1" xfId="0" applyFont="1" applyBorder="1" applyAlignment="1">
      <alignment horizontal="center" vertical="top" wrapText="1"/>
    </xf>
    <xf numFmtId="165" fontId="8" fillId="0" borderId="1" xfId="1" applyNumberFormat="1" applyFont="1" applyBorder="1" applyAlignment="1">
      <alignment horizontal="center" vertical="top" wrapText="1"/>
    </xf>
    <xf numFmtId="165" fontId="8" fillId="0" borderId="0" xfId="1" applyNumberFormat="1" applyFont="1" applyBorder="1" applyAlignment="1">
      <alignment horizontal="center" vertical="top" wrapText="1"/>
    </xf>
    <xf numFmtId="0" fontId="13" fillId="0" borderId="0" xfId="0" applyFont="1" applyBorder="1" applyAlignment="1">
      <alignment vertical="top" wrapText="1"/>
    </xf>
    <xf numFmtId="165" fontId="13" fillId="0" borderId="0" xfId="0" applyNumberFormat="1" applyFont="1" applyBorder="1" applyAlignment="1">
      <alignment vertical="top" wrapText="1"/>
    </xf>
    <xf numFmtId="4" fontId="13" fillId="0" borderId="0" xfId="0" applyNumberFormat="1" applyFont="1" applyBorder="1" applyAlignment="1">
      <alignment vertical="top" wrapText="1"/>
    </xf>
    <xf numFmtId="0" fontId="14" fillId="0" borderId="0" xfId="0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10" fillId="5" borderId="0" xfId="0" applyFont="1" applyFill="1" applyBorder="1" applyAlignment="1"/>
    <xf numFmtId="165" fontId="11" fillId="5" borderId="0" xfId="0" applyNumberFormat="1" applyFont="1" applyFill="1" applyBorder="1" applyAlignment="1"/>
    <xf numFmtId="0" fontId="11" fillId="5" borderId="0" xfId="0" applyFont="1" applyFill="1" applyBorder="1" applyAlignment="1"/>
    <xf numFmtId="165" fontId="9" fillId="0" borderId="20" xfId="1" applyNumberFormat="1" applyFont="1" applyBorder="1" applyAlignment="1">
      <alignment horizontal="center"/>
    </xf>
    <xf numFmtId="0" fontId="8" fillId="5" borderId="5" xfId="0" applyFont="1" applyFill="1" applyBorder="1" applyAlignment="1">
      <alignment horizontal="center" vertical="top" wrapText="1"/>
    </xf>
    <xf numFmtId="165" fontId="9" fillId="0" borderId="6" xfId="1" applyNumberFormat="1" applyFont="1" applyBorder="1" applyAlignment="1">
      <alignment horizontal="center"/>
    </xf>
    <xf numFmtId="165" fontId="9" fillId="0" borderId="8" xfId="1" applyNumberFormat="1" applyFont="1" applyBorder="1" applyAlignment="1">
      <alignment horizontal="center"/>
    </xf>
    <xf numFmtId="165" fontId="9" fillId="0" borderId="9" xfId="1" applyNumberFormat="1" applyFont="1" applyBorder="1" applyAlignment="1">
      <alignment horizontal="center"/>
    </xf>
    <xf numFmtId="165" fontId="9" fillId="0" borderId="22" xfId="1" applyNumberFormat="1" applyFont="1" applyBorder="1" applyAlignment="1">
      <alignment horizontal="center"/>
    </xf>
    <xf numFmtId="165" fontId="8" fillId="5" borderId="15" xfId="1" applyNumberFormat="1" applyFont="1" applyFill="1" applyBorder="1" applyAlignment="1">
      <alignment horizontal="center" vertical="top" wrapText="1"/>
    </xf>
    <xf numFmtId="165" fontId="9" fillId="0" borderId="24" xfId="1" applyNumberFormat="1" applyFont="1" applyBorder="1" applyAlignment="1">
      <alignment horizontal="center"/>
    </xf>
    <xf numFmtId="0" fontId="8" fillId="0" borderId="5" xfId="0" applyFont="1" applyBorder="1" applyAlignment="1">
      <alignment horizontal="center" vertical="top" wrapText="1"/>
    </xf>
    <xf numFmtId="165" fontId="8" fillId="0" borderId="22" xfId="1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5" borderId="0" xfId="0" applyFill="1"/>
    <xf numFmtId="0" fontId="13" fillId="0" borderId="0" xfId="0" applyFont="1" applyAlignment="1">
      <alignment horizontal="center" vertical="top" wrapText="1"/>
    </xf>
    <xf numFmtId="165" fontId="13" fillId="0" borderId="8" xfId="0" applyNumberFormat="1" applyFont="1" applyBorder="1" applyAlignment="1">
      <alignment horizontal="center" vertical="top" wrapText="1"/>
    </xf>
    <xf numFmtId="165" fontId="13" fillId="0" borderId="6" xfId="0" applyNumberFormat="1" applyFont="1" applyBorder="1" applyAlignment="1">
      <alignment horizontal="center" vertical="top" wrapText="1"/>
    </xf>
    <xf numFmtId="165" fontId="13" fillId="0" borderId="13" xfId="0" applyNumberFormat="1" applyFont="1" applyBorder="1" applyAlignment="1">
      <alignment horizontal="center" vertical="top" wrapText="1"/>
    </xf>
    <xf numFmtId="0" fontId="12" fillId="5" borderId="5" xfId="0" applyFont="1" applyFill="1" applyBorder="1" applyAlignment="1">
      <alignment horizontal="center" vertical="top" wrapText="1"/>
    </xf>
    <xf numFmtId="165" fontId="13" fillId="5" borderId="1" xfId="0" applyNumberFormat="1" applyFont="1" applyFill="1" applyBorder="1" applyAlignment="1">
      <alignment horizontal="center" vertical="top" wrapText="1"/>
    </xf>
    <xf numFmtId="0" fontId="12" fillId="5" borderId="7" xfId="0" applyFont="1" applyFill="1" applyBorder="1" applyAlignment="1">
      <alignment horizontal="center" vertical="top" wrapText="1"/>
    </xf>
    <xf numFmtId="165" fontId="13" fillId="5" borderId="6" xfId="0" applyNumberFormat="1" applyFont="1" applyFill="1" applyBorder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top" wrapText="1"/>
    </xf>
    <xf numFmtId="4" fontId="15" fillId="2" borderId="3" xfId="0" applyNumberFormat="1" applyFont="1" applyFill="1" applyBorder="1" applyAlignment="1">
      <alignment horizontal="center" vertical="top" wrapText="1"/>
    </xf>
    <xf numFmtId="4" fontId="15" fillId="2" borderId="2" xfId="0" applyNumberFormat="1" applyFont="1" applyFill="1" applyBorder="1" applyAlignment="1">
      <alignment horizontal="center" vertical="top" wrapText="1"/>
    </xf>
    <xf numFmtId="0" fontId="11" fillId="2" borderId="7" xfId="0" applyFont="1" applyFill="1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top" wrapText="1"/>
    </xf>
    <xf numFmtId="165" fontId="9" fillId="2" borderId="8" xfId="1" applyNumberFormat="1" applyFont="1" applyFill="1" applyBorder="1" applyAlignment="1">
      <alignment horizontal="center" vertical="top" wrapText="1"/>
    </xf>
    <xf numFmtId="165" fontId="9" fillId="2" borderId="9" xfId="1" applyNumberFormat="1" applyFont="1" applyFill="1" applyBorder="1" applyAlignment="1">
      <alignment horizontal="center" vertical="top" wrapText="1"/>
    </xf>
    <xf numFmtId="165" fontId="9" fillId="9" borderId="15" xfId="1" applyNumberFormat="1" applyFont="1" applyFill="1" applyBorder="1" applyAlignment="1">
      <alignment horizontal="center"/>
    </xf>
    <xf numFmtId="165" fontId="9" fillId="9" borderId="1" xfId="1" applyNumberFormat="1" applyFont="1" applyFill="1" applyBorder="1" applyAlignment="1">
      <alignment horizontal="center"/>
    </xf>
    <xf numFmtId="165" fontId="8" fillId="9" borderId="18" xfId="1" applyNumberFormat="1" applyFont="1" applyFill="1" applyBorder="1" applyAlignment="1">
      <alignment horizontal="center" vertical="top" wrapText="1"/>
    </xf>
    <xf numFmtId="165" fontId="8" fillId="9" borderId="1" xfId="1" applyNumberFormat="1" applyFont="1" applyFill="1" applyBorder="1" applyAlignment="1">
      <alignment horizontal="center" vertical="top" wrapText="1"/>
    </xf>
    <xf numFmtId="165" fontId="11" fillId="9" borderId="27" xfId="0" applyNumberFormat="1" applyFont="1" applyFill="1" applyBorder="1" applyAlignment="1">
      <alignment horizontal="center"/>
    </xf>
    <xf numFmtId="0" fontId="17" fillId="10" borderId="10" xfId="0" applyFont="1" applyFill="1" applyBorder="1" applyAlignment="1">
      <alignment horizontal="center" vertical="center"/>
    </xf>
    <xf numFmtId="0" fontId="17" fillId="10" borderId="11" xfId="0" applyFont="1" applyFill="1" applyBorder="1" applyAlignment="1">
      <alignment horizontal="center" vertical="center"/>
    </xf>
    <xf numFmtId="0" fontId="17" fillId="10" borderId="12" xfId="0" applyFont="1" applyFill="1" applyBorder="1" applyAlignment="1">
      <alignment horizontal="center" vertical="center"/>
    </xf>
    <xf numFmtId="0" fontId="10" fillId="10" borderId="25" xfId="0" applyFont="1" applyFill="1" applyBorder="1" applyAlignment="1">
      <alignment horizontal="center"/>
    </xf>
    <xf numFmtId="0" fontId="16" fillId="10" borderId="26" xfId="0" applyFont="1" applyFill="1" applyBorder="1" applyAlignment="1">
      <alignment horizontal="center" vertical="center"/>
    </xf>
    <xf numFmtId="4" fontId="10" fillId="10" borderId="23" xfId="0" applyNumberFormat="1" applyFont="1" applyFill="1" applyBorder="1" applyAlignment="1">
      <alignment horizontal="center" vertical="top" wrapText="1"/>
    </xf>
    <xf numFmtId="0" fontId="7" fillId="11" borderId="10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center" vertical="center"/>
    </xf>
    <xf numFmtId="0" fontId="7" fillId="11" borderId="1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 wrapText="1"/>
    </xf>
    <xf numFmtId="0" fontId="18" fillId="11" borderId="3" xfId="0" applyFont="1" applyFill="1" applyBorder="1" applyAlignment="1">
      <alignment horizontal="center" vertical="center" wrapText="1"/>
    </xf>
    <xf numFmtId="0" fontId="18" fillId="11" borderId="4" xfId="0" applyFont="1" applyFill="1" applyBorder="1" applyAlignment="1">
      <alignment horizontal="center" vertical="center" wrapText="1"/>
    </xf>
    <xf numFmtId="8" fontId="13" fillId="6" borderId="1" xfId="0" applyNumberFormat="1" applyFont="1" applyFill="1" applyBorder="1" applyAlignment="1">
      <alignment horizontal="center" vertical="top" wrapText="1"/>
    </xf>
    <xf numFmtId="8" fontId="13" fillId="6" borderId="8" xfId="0" applyNumberFormat="1" applyFont="1" applyFill="1" applyBorder="1" applyAlignment="1">
      <alignment horizontal="center" vertical="top" wrapText="1"/>
    </xf>
    <xf numFmtId="8" fontId="13" fillId="7" borderId="1" xfId="0" applyNumberFormat="1" applyFont="1" applyFill="1" applyBorder="1" applyAlignment="1">
      <alignment horizontal="center" vertical="top" wrapText="1"/>
    </xf>
    <xf numFmtId="8" fontId="13" fillId="7" borderId="8" xfId="0" applyNumberFormat="1" applyFont="1" applyFill="1" applyBorder="1" applyAlignment="1">
      <alignment horizontal="center" vertical="top" wrapText="1"/>
    </xf>
    <xf numFmtId="8" fontId="13" fillId="7" borderId="6" xfId="0" applyNumberFormat="1" applyFont="1" applyFill="1" applyBorder="1" applyAlignment="1">
      <alignment horizontal="center" vertical="top" wrapText="1"/>
    </xf>
    <xf numFmtId="8" fontId="13" fillId="7" borderId="9" xfId="0" applyNumberFormat="1" applyFont="1" applyFill="1" applyBorder="1" applyAlignment="1">
      <alignment horizontal="center" vertical="top" wrapText="1"/>
    </xf>
    <xf numFmtId="8" fontId="14" fillId="6" borderId="1" xfId="0" applyNumberFormat="1" applyFont="1" applyFill="1" applyBorder="1" applyAlignment="1">
      <alignment horizontal="center"/>
    </xf>
    <xf numFmtId="8" fontId="14" fillId="6" borderId="8" xfId="0" applyNumberFormat="1" applyFont="1" applyFill="1" applyBorder="1" applyAlignment="1">
      <alignment horizontal="center"/>
    </xf>
    <xf numFmtId="10" fontId="13" fillId="6" borderId="1" xfId="0" applyNumberFormat="1" applyFont="1" applyFill="1" applyBorder="1" applyAlignment="1">
      <alignment horizontal="center" vertical="top" wrapText="1"/>
    </xf>
    <xf numFmtId="164" fontId="13" fillId="6" borderId="1" xfId="0" applyNumberFormat="1" applyFont="1" applyFill="1" applyBorder="1" applyAlignment="1">
      <alignment horizontal="center" vertical="top" wrapText="1"/>
    </xf>
    <xf numFmtId="10" fontId="13" fillId="6" borderId="8" xfId="0" applyNumberFormat="1" applyFont="1" applyFill="1" applyBorder="1" applyAlignment="1">
      <alignment horizontal="center" vertical="top" wrapText="1"/>
    </xf>
    <xf numFmtId="164" fontId="13" fillId="6" borderId="8" xfId="0" applyNumberFormat="1" applyFont="1" applyFill="1" applyBorder="1" applyAlignment="1">
      <alignment horizontal="center" vertical="top" wrapText="1"/>
    </xf>
    <xf numFmtId="0" fontId="13" fillId="6" borderId="5" xfId="0" applyFont="1" applyFill="1" applyBorder="1" applyAlignment="1">
      <alignment horizontal="center" vertical="top" wrapText="1"/>
    </xf>
    <xf numFmtId="0" fontId="13" fillId="6" borderId="1" xfId="0" applyFont="1" applyFill="1" applyBorder="1" applyAlignment="1">
      <alignment horizontal="center" vertical="top" wrapText="1"/>
    </xf>
    <xf numFmtId="0" fontId="13" fillId="6" borderId="7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7" fillId="12" borderId="10" xfId="0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center" vertical="center"/>
    </xf>
    <xf numFmtId="0" fontId="7" fillId="12" borderId="12" xfId="0" applyFont="1" applyFill="1" applyBorder="1" applyAlignment="1">
      <alignment horizontal="center" vertical="center"/>
    </xf>
    <xf numFmtId="0" fontId="16" fillId="12" borderId="10" xfId="0" applyFont="1" applyFill="1" applyBorder="1" applyAlignment="1">
      <alignment horizontal="center"/>
    </xf>
    <xf numFmtId="0" fontId="20" fillId="12" borderId="11" xfId="0" applyFont="1" applyFill="1" applyBorder="1" applyAlignment="1">
      <alignment horizontal="center"/>
    </xf>
    <xf numFmtId="0" fontId="20" fillId="12" borderId="12" xfId="0" applyFont="1" applyFill="1" applyBorder="1" applyAlignment="1">
      <alignment horizontal="center"/>
    </xf>
    <xf numFmtId="0" fontId="16" fillId="12" borderId="11" xfId="0" applyFont="1" applyFill="1" applyBorder="1" applyAlignment="1">
      <alignment horizontal="center"/>
    </xf>
    <xf numFmtId="0" fontId="16" fillId="12" borderId="12" xfId="0" applyFont="1" applyFill="1" applyBorder="1" applyAlignment="1">
      <alignment horizontal="center"/>
    </xf>
    <xf numFmtId="0" fontId="12" fillId="8" borderId="14" xfId="0" applyFont="1" applyFill="1" applyBorder="1" applyAlignment="1">
      <alignment horizontal="center" vertical="top" wrapText="1"/>
    </xf>
    <xf numFmtId="0" fontId="12" fillId="8" borderId="15" xfId="0" applyFont="1" applyFill="1" applyBorder="1" applyAlignment="1">
      <alignment horizontal="center" vertical="top" wrapText="1"/>
    </xf>
    <xf numFmtId="0" fontId="12" fillId="8" borderId="16" xfId="0" applyFont="1" applyFill="1" applyBorder="1" applyAlignment="1">
      <alignment horizontal="center" vertical="top" wrapText="1"/>
    </xf>
    <xf numFmtId="0" fontId="9" fillId="8" borderId="14" xfId="0" applyFont="1" applyFill="1" applyBorder="1" applyAlignment="1">
      <alignment horizontal="center"/>
    </xf>
    <xf numFmtId="0" fontId="19" fillId="8" borderId="15" xfId="0" applyFont="1" applyFill="1" applyBorder="1" applyAlignment="1">
      <alignment horizontal="center" vertical="top" wrapText="1"/>
    </xf>
    <xf numFmtId="0" fontId="19" fillId="8" borderId="16" xfId="0" applyFont="1" applyFill="1" applyBorder="1" applyAlignment="1">
      <alignment horizontal="center" vertical="top" wrapText="1"/>
    </xf>
    <xf numFmtId="0" fontId="19" fillId="8" borderId="28" xfId="0" applyFont="1" applyFill="1" applyBorder="1" applyAlignment="1">
      <alignment horizontal="center"/>
    </xf>
    <xf numFmtId="0" fontId="19" fillId="8" borderId="17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 vertical="top" wrapText="1"/>
    </xf>
    <xf numFmtId="0" fontId="12" fillId="8" borderId="5" xfId="0" applyFont="1" applyFill="1" applyBorder="1" applyAlignment="1">
      <alignment horizontal="center" vertical="top" wrapText="1"/>
    </xf>
    <xf numFmtId="0" fontId="12" fillId="8" borderId="7" xfId="0" applyFont="1" applyFill="1" applyBorder="1" applyAlignment="1">
      <alignment horizontal="center" vertical="top" wrapText="1"/>
    </xf>
    <xf numFmtId="165" fontId="13" fillId="3" borderId="3" xfId="0" applyNumberFormat="1" applyFont="1" applyFill="1" applyBorder="1" applyAlignment="1">
      <alignment horizontal="center" vertical="top" wrapText="1"/>
    </xf>
    <xf numFmtId="165" fontId="13" fillId="3" borderId="4" xfId="0" applyNumberFormat="1" applyFont="1" applyFill="1" applyBorder="1" applyAlignment="1">
      <alignment horizontal="center" vertical="top" wrapText="1"/>
    </xf>
    <xf numFmtId="165" fontId="13" fillId="3" borderId="1" xfId="0" applyNumberFormat="1" applyFont="1" applyFill="1" applyBorder="1" applyAlignment="1">
      <alignment horizontal="center" vertical="top" wrapText="1"/>
    </xf>
    <xf numFmtId="165" fontId="13" fillId="3" borderId="6" xfId="0" applyNumberFormat="1" applyFont="1" applyFill="1" applyBorder="1" applyAlignment="1">
      <alignment horizontal="center" vertical="top" wrapText="1"/>
    </xf>
    <xf numFmtId="165" fontId="13" fillId="3" borderId="9" xfId="0" applyNumberFormat="1" applyFont="1" applyFill="1" applyBorder="1" applyAlignment="1">
      <alignment horizontal="center" vertical="top" wrapText="1"/>
    </xf>
    <xf numFmtId="165" fontId="14" fillId="3" borderId="9" xfId="0" applyNumberFormat="1" applyFont="1" applyFill="1" applyBorder="1" applyAlignment="1">
      <alignment horizontal="center"/>
    </xf>
    <xf numFmtId="0" fontId="21" fillId="4" borderId="8" xfId="0" applyFont="1" applyFill="1" applyBorder="1" applyAlignment="1">
      <alignment horizontal="center" vertical="top" wrapText="1"/>
    </xf>
    <xf numFmtId="0" fontId="22" fillId="13" borderId="8" xfId="0" applyFont="1" applyFill="1" applyBorder="1" applyAlignment="1">
      <alignment horizontal="center" vertical="top" wrapText="1"/>
    </xf>
    <xf numFmtId="0" fontId="22" fillId="13" borderId="9" xfId="0" applyFont="1" applyFill="1" applyBorder="1" applyAlignment="1">
      <alignment horizontal="center" vertical="top" wrapText="1"/>
    </xf>
    <xf numFmtId="0" fontId="11" fillId="0" borderId="0" xfId="0" applyFont="1"/>
    <xf numFmtId="0" fontId="19" fillId="0" borderId="0" xfId="0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B3B3"/>
      <color rgb="FFCCFF99"/>
      <color rgb="FFFCFAA8"/>
      <color rgb="FFFFFB5F"/>
      <color rgb="FFFDFCCB"/>
      <color rgb="FFFAF77E"/>
      <color rgb="FFFFFF3B"/>
      <color rgb="FFFFFFCC"/>
      <color rgb="FFFF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showGridLines="0" tabSelected="1" workbookViewId="0">
      <selection activeCell="B21" sqref="B21:D21"/>
    </sheetView>
  </sheetViews>
  <sheetFormatPr defaultRowHeight="14.25"/>
  <cols>
    <col min="1" max="1" width="13.75" style="9" bestFit="1" customWidth="1"/>
    <col min="2" max="2" width="18.625" customWidth="1"/>
    <col min="3" max="3" width="15.25" customWidth="1"/>
    <col min="4" max="4" width="15" customWidth="1"/>
    <col min="5" max="5" width="17.5" style="9" customWidth="1"/>
    <col min="6" max="6" width="16.875" customWidth="1"/>
    <col min="7" max="7" width="14.375" bestFit="1" customWidth="1"/>
    <col min="8" max="8" width="14" customWidth="1"/>
    <col min="9" max="9" width="14.625" customWidth="1"/>
  </cols>
  <sheetData>
    <row r="1" spans="1:13" ht="24" customHeight="1" thickBot="1">
      <c r="A1" s="79" t="s">
        <v>26</v>
      </c>
      <c r="B1" s="80"/>
      <c r="C1" s="80"/>
      <c r="D1" s="80"/>
      <c r="E1" s="80"/>
      <c r="F1" s="80"/>
      <c r="G1" s="80"/>
      <c r="H1" s="80"/>
      <c r="I1" s="81"/>
    </row>
    <row r="2" spans="1:13" ht="3.75" customHeight="1" thickBot="1">
      <c r="A2" s="3"/>
      <c r="B2" s="8"/>
      <c r="C2" s="8"/>
      <c r="D2" s="8"/>
      <c r="E2" s="3"/>
      <c r="F2" s="8"/>
      <c r="G2" s="8"/>
      <c r="H2" s="8"/>
      <c r="I2" s="8"/>
    </row>
    <row r="3" spans="1:13">
      <c r="A3" s="65" t="s">
        <v>47</v>
      </c>
      <c r="B3" s="62" t="s">
        <v>48</v>
      </c>
      <c r="C3" s="62" t="s">
        <v>49</v>
      </c>
      <c r="D3" s="66" t="s">
        <v>50</v>
      </c>
      <c r="E3" s="66" t="s">
        <v>51</v>
      </c>
      <c r="F3" s="82" t="s">
        <v>52</v>
      </c>
      <c r="G3" s="62" t="s">
        <v>53</v>
      </c>
      <c r="H3" s="63" t="s">
        <v>54</v>
      </c>
      <c r="I3" s="64" t="s">
        <v>55</v>
      </c>
    </row>
    <row r="4" spans="1:13" ht="15">
      <c r="A4" s="38">
        <v>1</v>
      </c>
      <c r="B4" s="17" t="s">
        <v>56</v>
      </c>
      <c r="C4" s="18">
        <v>4500</v>
      </c>
      <c r="D4" s="18">
        <v>5040</v>
      </c>
      <c r="E4" s="43">
        <v>5696</v>
      </c>
      <c r="F4" s="74">
        <f>SUM(C4:E4)</f>
        <v>15236</v>
      </c>
      <c r="G4" s="44">
        <f>MAX(C4:E4)</f>
        <v>5696</v>
      </c>
      <c r="H4" s="19">
        <f>MIN(C4:E4)</f>
        <v>4500</v>
      </c>
      <c r="I4" s="39">
        <f>AVERAGE(C4:E4)</f>
        <v>5078.666666666667</v>
      </c>
      <c r="K4" s="13"/>
      <c r="L4" s="13"/>
      <c r="M4" s="13"/>
    </row>
    <row r="5" spans="1:13" ht="15">
      <c r="A5" s="38">
        <v>2</v>
      </c>
      <c r="B5" s="17" t="s">
        <v>57</v>
      </c>
      <c r="C5" s="18">
        <v>6250</v>
      </c>
      <c r="D5" s="18">
        <v>7000</v>
      </c>
      <c r="E5" s="18">
        <v>7910</v>
      </c>
      <c r="F5" s="75">
        <f>SUM(C5:E5)</f>
        <v>21160</v>
      </c>
      <c r="G5" s="37">
        <f t="shared" ref="G5:G9" si="0">MAX(C5:E5)</f>
        <v>7910</v>
      </c>
      <c r="H5" s="19">
        <f t="shared" ref="H5:H9" si="1">MIN(C5:E5)</f>
        <v>6250</v>
      </c>
      <c r="I5" s="39">
        <f t="shared" ref="I5:I9" si="2">AVERAGE(C5:E5)</f>
        <v>7053.333333333333</v>
      </c>
      <c r="K5" s="13"/>
      <c r="L5" s="13"/>
      <c r="M5" s="13"/>
    </row>
    <row r="6" spans="1:13" ht="15">
      <c r="A6" s="38">
        <v>3</v>
      </c>
      <c r="B6" s="17" t="s">
        <v>58</v>
      </c>
      <c r="C6" s="18">
        <v>3300</v>
      </c>
      <c r="D6" s="18">
        <v>3696</v>
      </c>
      <c r="E6" s="18">
        <v>4176</v>
      </c>
      <c r="F6" s="75">
        <f t="shared" ref="F6:F9" si="3">SUM(C6:E6)</f>
        <v>11172</v>
      </c>
      <c r="G6" s="37">
        <f t="shared" si="0"/>
        <v>4176</v>
      </c>
      <c r="H6" s="19">
        <f t="shared" si="1"/>
        <v>3300</v>
      </c>
      <c r="I6" s="39">
        <f t="shared" si="2"/>
        <v>3724</v>
      </c>
      <c r="K6" s="13"/>
      <c r="L6" s="13"/>
      <c r="M6" s="13"/>
    </row>
    <row r="7" spans="1:13" ht="15">
      <c r="A7" s="38">
        <v>4</v>
      </c>
      <c r="B7" s="17" t="s">
        <v>59</v>
      </c>
      <c r="C7" s="18">
        <v>8000</v>
      </c>
      <c r="D7" s="18">
        <v>8690</v>
      </c>
      <c r="E7" s="18">
        <v>10125</v>
      </c>
      <c r="F7" s="75">
        <f t="shared" si="3"/>
        <v>26815</v>
      </c>
      <c r="G7" s="37">
        <f>MAX(C7:E7)</f>
        <v>10125</v>
      </c>
      <c r="H7" s="19">
        <f t="shared" si="1"/>
        <v>8000</v>
      </c>
      <c r="I7" s="39">
        <f t="shared" si="2"/>
        <v>8938.3333333333339</v>
      </c>
    </row>
    <row r="8" spans="1:13" ht="15">
      <c r="A8" s="38">
        <v>5</v>
      </c>
      <c r="B8" s="17" t="s">
        <v>60</v>
      </c>
      <c r="C8" s="18">
        <v>4557</v>
      </c>
      <c r="D8" s="18">
        <v>5104</v>
      </c>
      <c r="E8" s="18">
        <v>5676</v>
      </c>
      <c r="F8" s="75">
        <f t="shared" si="3"/>
        <v>15337</v>
      </c>
      <c r="G8" s="37">
        <f t="shared" si="0"/>
        <v>5676</v>
      </c>
      <c r="H8" s="19">
        <f t="shared" si="1"/>
        <v>4557</v>
      </c>
      <c r="I8" s="39">
        <f t="shared" si="2"/>
        <v>5112.333333333333</v>
      </c>
    </row>
    <row r="9" spans="1:13" ht="15.75" thickBot="1">
      <c r="A9" s="38">
        <v>6</v>
      </c>
      <c r="B9" s="17" t="s">
        <v>61</v>
      </c>
      <c r="C9" s="18">
        <v>3260</v>
      </c>
      <c r="D9" s="18">
        <v>3640</v>
      </c>
      <c r="E9" s="18">
        <v>4113</v>
      </c>
      <c r="F9" s="75">
        <f t="shared" si="3"/>
        <v>11013</v>
      </c>
      <c r="G9" s="42">
        <f t="shared" si="0"/>
        <v>4113</v>
      </c>
      <c r="H9" s="40">
        <f t="shared" si="1"/>
        <v>3260</v>
      </c>
      <c r="I9" s="41">
        <f t="shared" si="2"/>
        <v>3671</v>
      </c>
    </row>
    <row r="10" spans="1:13" ht="15.75" thickBot="1">
      <c r="A10" s="70" t="s">
        <v>62</v>
      </c>
      <c r="B10" s="71"/>
      <c r="C10" s="72">
        <f>SUM(C4:C9)</f>
        <v>29867</v>
      </c>
      <c r="D10" s="72">
        <f t="shared" ref="D10" si="4">SUM(D4:D9)</f>
        <v>33170</v>
      </c>
      <c r="E10" s="72">
        <f>SUM(E4:E9)</f>
        <v>37696</v>
      </c>
      <c r="F10" s="73">
        <f>SUM(F4:F9)</f>
        <v>100733</v>
      </c>
      <c r="G10" s="20"/>
      <c r="H10" s="20"/>
      <c r="I10" s="20"/>
      <c r="J10" s="14"/>
    </row>
    <row r="11" spans="1:13" ht="4.5" customHeight="1" thickBot="1">
      <c r="A11" s="21"/>
      <c r="B11" s="22"/>
      <c r="C11" s="23"/>
      <c r="D11" s="23"/>
      <c r="E11" s="23"/>
      <c r="F11" s="24"/>
      <c r="G11" s="24"/>
      <c r="H11" s="24"/>
      <c r="I11" s="24"/>
    </row>
    <row r="12" spans="1:13">
      <c r="A12" s="65" t="s">
        <v>47</v>
      </c>
      <c r="B12" s="62" t="s">
        <v>48</v>
      </c>
      <c r="C12" s="67" t="s">
        <v>63</v>
      </c>
      <c r="D12" s="68" t="s">
        <v>64</v>
      </c>
      <c r="E12" s="68" t="s">
        <v>65</v>
      </c>
      <c r="F12" s="84" t="s">
        <v>66</v>
      </c>
      <c r="G12" s="69" t="s">
        <v>53</v>
      </c>
      <c r="H12" s="62" t="s">
        <v>54</v>
      </c>
      <c r="I12" s="64" t="s">
        <v>55</v>
      </c>
    </row>
    <row r="13" spans="1:13" ht="15">
      <c r="A13" s="45">
        <v>1</v>
      </c>
      <c r="B13" s="25" t="s">
        <v>56</v>
      </c>
      <c r="C13" s="26">
        <v>6265</v>
      </c>
      <c r="D13" s="26">
        <v>6954</v>
      </c>
      <c r="E13" s="26">
        <v>7858</v>
      </c>
      <c r="F13" s="76">
        <f>SUM(C13:E13)</f>
        <v>21077</v>
      </c>
      <c r="G13" s="26">
        <f>MAX(C13:E13)</f>
        <v>7858</v>
      </c>
      <c r="H13" s="19">
        <f>MIN(C13:E13)</f>
        <v>6265</v>
      </c>
      <c r="I13" s="39">
        <f>AVERAGE(C13:E13)</f>
        <v>7025.666666666667</v>
      </c>
    </row>
    <row r="14" spans="1:13" ht="15">
      <c r="A14" s="45">
        <v>2</v>
      </c>
      <c r="B14" s="25" t="s">
        <v>57</v>
      </c>
      <c r="C14" s="26">
        <v>8701</v>
      </c>
      <c r="D14" s="26">
        <v>9658</v>
      </c>
      <c r="E14" s="26">
        <v>10197</v>
      </c>
      <c r="F14" s="76">
        <f t="shared" ref="F14:F18" si="5">SUM(C14:E14)</f>
        <v>28556</v>
      </c>
      <c r="G14" s="26">
        <f t="shared" ref="G14:G18" si="6">MAX(C14:E14)</f>
        <v>10197</v>
      </c>
      <c r="H14" s="19">
        <f t="shared" ref="H14:H18" si="7">MIN(C14:E14)</f>
        <v>8701</v>
      </c>
      <c r="I14" s="39">
        <f t="shared" ref="I14:I18" si="8">AVERAGE(C14:E14)</f>
        <v>9518.6666666666661</v>
      </c>
    </row>
    <row r="15" spans="1:13" ht="15">
      <c r="A15" s="45">
        <v>3</v>
      </c>
      <c r="B15" s="25" t="s">
        <v>58</v>
      </c>
      <c r="C15" s="26">
        <v>4569</v>
      </c>
      <c r="D15" s="26">
        <v>5099</v>
      </c>
      <c r="E15" s="26">
        <v>5769</v>
      </c>
      <c r="F15" s="76">
        <f t="shared" si="5"/>
        <v>15437</v>
      </c>
      <c r="G15" s="26">
        <f t="shared" si="6"/>
        <v>5769</v>
      </c>
      <c r="H15" s="19">
        <f t="shared" si="7"/>
        <v>4569</v>
      </c>
      <c r="I15" s="39">
        <f t="shared" si="8"/>
        <v>5145.666666666667</v>
      </c>
    </row>
    <row r="16" spans="1:13" ht="15">
      <c r="A16" s="45">
        <v>4</v>
      </c>
      <c r="B16" s="25" t="s">
        <v>59</v>
      </c>
      <c r="C16" s="26">
        <v>12341</v>
      </c>
      <c r="D16" s="26">
        <v>12365</v>
      </c>
      <c r="E16" s="26">
        <v>13969</v>
      </c>
      <c r="F16" s="76">
        <f t="shared" si="5"/>
        <v>38675</v>
      </c>
      <c r="G16" s="26">
        <f t="shared" si="6"/>
        <v>13969</v>
      </c>
      <c r="H16" s="19">
        <f>MIN(C16:E16)</f>
        <v>12341</v>
      </c>
      <c r="I16" s="39">
        <f t="shared" si="8"/>
        <v>12891.666666666666</v>
      </c>
    </row>
    <row r="17" spans="1:10" ht="15">
      <c r="A17" s="45">
        <v>5</v>
      </c>
      <c r="B17" s="25" t="s">
        <v>60</v>
      </c>
      <c r="C17" s="26">
        <v>6344</v>
      </c>
      <c r="D17" s="26">
        <v>7042</v>
      </c>
      <c r="E17" s="26">
        <v>7957</v>
      </c>
      <c r="F17" s="76">
        <f t="shared" si="5"/>
        <v>21343</v>
      </c>
      <c r="G17" s="26">
        <f t="shared" si="6"/>
        <v>7957</v>
      </c>
      <c r="H17" s="19">
        <f t="shared" si="7"/>
        <v>6344</v>
      </c>
      <c r="I17" s="39">
        <f t="shared" si="8"/>
        <v>7114.333333333333</v>
      </c>
    </row>
    <row r="18" spans="1:10" ht="15.75" thickBot="1">
      <c r="A18" s="45">
        <v>6</v>
      </c>
      <c r="B18" s="25" t="s">
        <v>61</v>
      </c>
      <c r="C18" s="26">
        <v>4525</v>
      </c>
      <c r="D18" s="26">
        <v>5022</v>
      </c>
      <c r="E18" s="26">
        <v>5671</v>
      </c>
      <c r="F18" s="77">
        <f t="shared" si="5"/>
        <v>15218</v>
      </c>
      <c r="G18" s="46">
        <f t="shared" si="6"/>
        <v>5671</v>
      </c>
      <c r="H18" s="40">
        <f t="shared" si="7"/>
        <v>4525</v>
      </c>
      <c r="I18" s="41">
        <f t="shared" si="8"/>
        <v>5072.666666666667</v>
      </c>
    </row>
    <row r="19" spans="1:10" ht="15.75" thickBot="1">
      <c r="A19" s="70" t="s">
        <v>62</v>
      </c>
      <c r="B19" s="71"/>
      <c r="C19" s="72">
        <f>SUM(C13:C18)</f>
        <v>42745</v>
      </c>
      <c r="D19" s="72">
        <f t="shared" ref="D19:E19" si="9">SUM(D13:D18)</f>
        <v>46140</v>
      </c>
      <c r="E19" s="72">
        <f t="shared" si="9"/>
        <v>51421</v>
      </c>
      <c r="F19" s="73">
        <f>SUM(F13:F18)</f>
        <v>140306</v>
      </c>
      <c r="G19" s="27"/>
      <c r="H19" s="20"/>
      <c r="I19" s="20"/>
      <c r="J19" s="14"/>
    </row>
    <row r="20" spans="1:10" ht="6.75" customHeight="1" thickBot="1">
      <c r="A20" s="21"/>
      <c r="B20" s="28"/>
      <c r="C20" s="29"/>
      <c r="D20" s="30"/>
      <c r="E20" s="23"/>
      <c r="F20" s="30"/>
      <c r="G20" s="30"/>
      <c r="H20" s="31"/>
      <c r="I20" s="31"/>
    </row>
    <row r="21" spans="1:10" ht="19.5" customHeight="1">
      <c r="B21" s="58"/>
      <c r="C21" s="58"/>
      <c r="D21" s="58"/>
      <c r="E21" s="34"/>
      <c r="F21" s="83" t="s">
        <v>79</v>
      </c>
      <c r="G21" s="34"/>
      <c r="H21" s="31"/>
      <c r="I21" s="31"/>
    </row>
    <row r="22" spans="1:10" ht="16.5" thickBot="1">
      <c r="B22" s="58"/>
      <c r="C22" s="58"/>
      <c r="D22" s="58"/>
      <c r="E22" s="35"/>
      <c r="F22" s="78">
        <f>SUM(F10,F19)</f>
        <v>241039</v>
      </c>
      <c r="G22" s="36"/>
      <c r="H22" s="31"/>
      <c r="I22" s="32"/>
    </row>
    <row r="23" spans="1:10" ht="15.75">
      <c r="F23" s="6"/>
      <c r="G23" s="6"/>
      <c r="H23" s="136" t="s">
        <v>82</v>
      </c>
      <c r="I23" s="1"/>
    </row>
    <row r="24" spans="1:10" ht="15.75">
      <c r="A24" s="11" t="s">
        <v>16</v>
      </c>
      <c r="B24" s="6"/>
      <c r="C24" s="4"/>
      <c r="D24" s="6"/>
      <c r="E24" s="16"/>
      <c r="F24" s="1"/>
      <c r="G24" s="1"/>
      <c r="H24" s="135" t="s">
        <v>81</v>
      </c>
      <c r="I24" s="1"/>
    </row>
    <row r="25" spans="1:10" ht="15">
      <c r="A25" s="12" t="s">
        <v>67</v>
      </c>
      <c r="B25" s="1"/>
      <c r="C25" s="1"/>
      <c r="D25" s="1"/>
      <c r="E25" s="10"/>
      <c r="F25" s="1"/>
      <c r="G25" s="1"/>
      <c r="H25" s="1"/>
      <c r="I25" s="1"/>
    </row>
    <row r="26" spans="1:10" ht="15">
      <c r="A26" s="10"/>
      <c r="B26" s="2" t="s">
        <v>68</v>
      </c>
      <c r="C26" s="1"/>
      <c r="D26" s="1"/>
      <c r="E26" s="10"/>
      <c r="F26" s="1"/>
      <c r="G26" s="1"/>
      <c r="H26" s="1"/>
      <c r="I26" s="1"/>
    </row>
    <row r="27" spans="1:10" ht="15">
      <c r="A27" s="10"/>
      <c r="B27" s="2" t="s">
        <v>69</v>
      </c>
      <c r="C27" s="1"/>
      <c r="D27" s="1"/>
      <c r="E27" s="10"/>
      <c r="F27" s="1"/>
      <c r="G27" s="1"/>
      <c r="H27" s="1"/>
      <c r="I27" s="1"/>
    </row>
    <row r="28" spans="1:10" ht="15">
      <c r="A28" s="10"/>
      <c r="B28" s="2" t="s">
        <v>70</v>
      </c>
      <c r="C28" s="1"/>
      <c r="D28" s="1"/>
      <c r="E28" s="10"/>
      <c r="F28" s="1"/>
      <c r="G28" s="1"/>
      <c r="H28" s="1"/>
      <c r="I28" s="1"/>
    </row>
    <row r="29" spans="1:10" ht="15">
      <c r="A29" s="10"/>
      <c r="B29" s="2" t="s">
        <v>71</v>
      </c>
      <c r="C29" s="1"/>
      <c r="D29" s="1"/>
      <c r="E29" s="10"/>
      <c r="F29" s="1"/>
      <c r="G29" s="1"/>
      <c r="H29" s="1"/>
      <c r="I29" s="1"/>
    </row>
    <row r="30" spans="1:10" ht="15">
      <c r="A30" s="12" t="s">
        <v>72</v>
      </c>
      <c r="B30" s="1"/>
      <c r="C30" s="1"/>
      <c r="D30" s="1"/>
      <c r="E30" s="10"/>
      <c r="F30" s="1"/>
      <c r="G30" s="1"/>
      <c r="H30" s="1"/>
      <c r="I30" s="1"/>
    </row>
    <row r="31" spans="1:10" ht="15">
      <c r="A31" s="10"/>
      <c r="B31" s="2" t="s">
        <v>73</v>
      </c>
      <c r="C31" s="1"/>
      <c r="D31" s="1"/>
      <c r="E31" s="10"/>
      <c r="F31" s="1"/>
      <c r="G31" s="1"/>
      <c r="H31" s="1"/>
      <c r="I31" s="1"/>
    </row>
    <row r="32" spans="1:10" ht="15">
      <c r="A32" s="10"/>
      <c r="B32" s="2" t="s">
        <v>74</v>
      </c>
      <c r="C32" s="1"/>
      <c r="D32" s="1"/>
      <c r="E32" s="10"/>
      <c r="F32" s="1"/>
      <c r="G32" s="1"/>
      <c r="H32" s="1"/>
      <c r="I32" s="1"/>
    </row>
    <row r="33" spans="1:9" ht="15">
      <c r="A33" s="10"/>
      <c r="B33" s="2" t="s">
        <v>75</v>
      </c>
      <c r="C33" s="1"/>
      <c r="D33" s="1"/>
      <c r="E33" s="10"/>
      <c r="F33" s="1"/>
      <c r="G33" s="1"/>
      <c r="H33" s="1"/>
      <c r="I33" s="1"/>
    </row>
    <row r="34" spans="1:9" ht="15">
      <c r="A34" s="10"/>
      <c r="B34" s="2" t="s">
        <v>76</v>
      </c>
      <c r="C34" s="1"/>
      <c r="D34" s="1"/>
      <c r="E34" s="10"/>
      <c r="F34" s="1"/>
      <c r="G34" s="1"/>
      <c r="H34" s="7"/>
      <c r="I34" s="1"/>
    </row>
    <row r="35" spans="1:9" ht="15">
      <c r="A35" s="10"/>
      <c r="B35" s="2" t="s">
        <v>77</v>
      </c>
      <c r="C35" s="1"/>
      <c r="D35" s="1"/>
      <c r="E35" s="10"/>
      <c r="F35" s="1"/>
      <c r="G35" s="1"/>
      <c r="H35" s="1"/>
      <c r="I35" s="1"/>
    </row>
    <row r="36" spans="1:9" ht="15">
      <c r="A36" s="10"/>
      <c r="B36" s="2" t="s">
        <v>78</v>
      </c>
      <c r="C36" s="1"/>
      <c r="D36" s="1"/>
      <c r="E36" s="10"/>
      <c r="F36" s="1"/>
      <c r="G36" s="1"/>
      <c r="H36" s="1"/>
      <c r="I36" s="1"/>
    </row>
  </sheetData>
  <mergeCells count="3">
    <mergeCell ref="A1:I1"/>
    <mergeCell ref="B21:D21"/>
    <mergeCell ref="B22:D2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showGridLines="0" workbookViewId="0">
      <selection activeCell="I3" sqref="I3:L3"/>
    </sheetView>
  </sheetViews>
  <sheetFormatPr defaultColWidth="13.5" defaultRowHeight="14.25"/>
  <cols>
    <col min="1" max="1" width="13.5" bestFit="1" customWidth="1"/>
    <col min="2" max="2" width="12.375" customWidth="1"/>
    <col min="3" max="3" width="14.875" bestFit="1" customWidth="1"/>
    <col min="4" max="4" width="10" customWidth="1"/>
    <col min="5" max="5" width="14.25" customWidth="1"/>
    <col min="6" max="6" width="11.625" customWidth="1"/>
    <col min="7" max="7" width="17" style="9" bestFit="1" customWidth="1"/>
    <col min="8" max="8" width="17.125" bestFit="1" customWidth="1"/>
  </cols>
  <sheetData>
    <row r="1" spans="1:12" ht="26.25" customHeight="1" thickBot="1">
      <c r="A1" s="85" t="s">
        <v>26</v>
      </c>
      <c r="B1" s="86"/>
      <c r="C1" s="86"/>
      <c r="D1" s="86"/>
      <c r="E1" s="86"/>
      <c r="F1" s="86"/>
      <c r="G1" s="86"/>
      <c r="H1" s="87"/>
    </row>
    <row r="2" spans="1:12" ht="3.75" customHeight="1" thickBot="1">
      <c r="A2" s="15"/>
      <c r="B2" s="15"/>
      <c r="C2" s="15"/>
      <c r="D2" s="15"/>
      <c r="E2" s="15"/>
      <c r="F2" s="15"/>
      <c r="G2" s="15"/>
      <c r="H2" s="15"/>
    </row>
    <row r="3" spans="1:12" ht="17.25" customHeight="1">
      <c r="A3" s="88" t="s">
        <v>27</v>
      </c>
      <c r="B3" s="89" t="s">
        <v>28</v>
      </c>
      <c r="C3" s="89" t="s">
        <v>29</v>
      </c>
      <c r="D3" s="89" t="s">
        <v>30</v>
      </c>
      <c r="E3" s="89" t="s">
        <v>31</v>
      </c>
      <c r="F3" s="89" t="s">
        <v>32</v>
      </c>
      <c r="G3" s="89" t="s">
        <v>33</v>
      </c>
      <c r="H3" s="90" t="s">
        <v>34</v>
      </c>
      <c r="I3" s="59"/>
      <c r="J3" s="58"/>
      <c r="K3" s="58"/>
      <c r="L3" s="58"/>
    </row>
    <row r="4" spans="1:12" ht="14.25" customHeight="1">
      <c r="A4" s="103">
        <v>1</v>
      </c>
      <c r="B4" s="104" t="s">
        <v>35</v>
      </c>
      <c r="C4" s="93">
        <v>853</v>
      </c>
      <c r="D4" s="99">
        <v>0.1</v>
      </c>
      <c r="E4" s="100">
        <v>0.09</v>
      </c>
      <c r="F4" s="91">
        <f>C4*D4</f>
        <v>85.300000000000011</v>
      </c>
      <c r="G4" s="97">
        <f>C4*E4</f>
        <v>76.77</v>
      </c>
      <c r="H4" s="95">
        <f>C4+G4-F4</f>
        <v>844.47</v>
      </c>
      <c r="I4" s="59"/>
      <c r="J4" s="60"/>
      <c r="K4" s="60"/>
      <c r="L4" s="60"/>
    </row>
    <row r="5" spans="1:12" ht="14.25" customHeight="1">
      <c r="A5" s="103">
        <v>2</v>
      </c>
      <c r="B5" s="104" t="s">
        <v>36</v>
      </c>
      <c r="C5" s="93">
        <v>951</v>
      </c>
      <c r="D5" s="99">
        <v>9.9900000000000003E-2</v>
      </c>
      <c r="E5" s="100">
        <v>0.08</v>
      </c>
      <c r="F5" s="91">
        <f t="shared" ref="F5:F11" si="0">C5*D5</f>
        <v>95.004900000000006</v>
      </c>
      <c r="G5" s="97">
        <f t="shared" ref="G5:G11" si="1">C5*E5</f>
        <v>76.08</v>
      </c>
      <c r="H5" s="95">
        <f t="shared" ref="H5:H11" si="2">C5+G5-F5</f>
        <v>932.07509999999991</v>
      </c>
    </row>
    <row r="6" spans="1:12" ht="14.25" customHeight="1">
      <c r="A6" s="103">
        <v>3</v>
      </c>
      <c r="B6" s="104" t="s">
        <v>37</v>
      </c>
      <c r="C6" s="93">
        <v>456</v>
      </c>
      <c r="D6" s="99">
        <v>8.6400000000000005E-2</v>
      </c>
      <c r="E6" s="100">
        <v>0.06</v>
      </c>
      <c r="F6" s="91">
        <f t="shared" si="0"/>
        <v>39.398400000000002</v>
      </c>
      <c r="G6" s="97">
        <f t="shared" si="1"/>
        <v>27.36</v>
      </c>
      <c r="H6" s="95">
        <f t="shared" si="2"/>
        <v>443.96160000000003</v>
      </c>
    </row>
    <row r="7" spans="1:12" ht="14.25" customHeight="1">
      <c r="A7" s="103">
        <v>4</v>
      </c>
      <c r="B7" s="104" t="s">
        <v>38</v>
      </c>
      <c r="C7" s="93">
        <v>500</v>
      </c>
      <c r="D7" s="99">
        <v>8.5000000000000006E-2</v>
      </c>
      <c r="E7" s="100">
        <v>0.06</v>
      </c>
      <c r="F7" s="91">
        <f t="shared" si="0"/>
        <v>42.5</v>
      </c>
      <c r="G7" s="97">
        <f t="shared" si="1"/>
        <v>30</v>
      </c>
      <c r="H7" s="95">
        <f t="shared" si="2"/>
        <v>487.5</v>
      </c>
    </row>
    <row r="8" spans="1:12" ht="14.25" customHeight="1">
      <c r="A8" s="103">
        <v>5</v>
      </c>
      <c r="B8" s="104" t="s">
        <v>39</v>
      </c>
      <c r="C8" s="93">
        <v>850</v>
      </c>
      <c r="D8" s="99">
        <v>8.9899999999999994E-2</v>
      </c>
      <c r="E8" s="100">
        <v>7.0000000000000007E-2</v>
      </c>
      <c r="F8" s="91">
        <f t="shared" si="0"/>
        <v>76.414999999999992</v>
      </c>
      <c r="G8" s="97">
        <f t="shared" si="1"/>
        <v>59.500000000000007</v>
      </c>
      <c r="H8" s="95">
        <f t="shared" si="2"/>
        <v>833.08500000000004</v>
      </c>
    </row>
    <row r="9" spans="1:12" ht="14.25" customHeight="1">
      <c r="A9" s="103">
        <v>6</v>
      </c>
      <c r="B9" s="104" t="s">
        <v>40</v>
      </c>
      <c r="C9" s="93">
        <v>459</v>
      </c>
      <c r="D9" s="99">
        <v>6.25E-2</v>
      </c>
      <c r="E9" s="100">
        <v>0.05</v>
      </c>
      <c r="F9" s="91">
        <f t="shared" si="0"/>
        <v>28.6875</v>
      </c>
      <c r="G9" s="97">
        <f t="shared" si="1"/>
        <v>22.950000000000003</v>
      </c>
      <c r="H9" s="95">
        <f t="shared" si="2"/>
        <v>453.26249999999999</v>
      </c>
    </row>
    <row r="10" spans="1:12" ht="14.25" customHeight="1">
      <c r="A10" s="103">
        <v>7</v>
      </c>
      <c r="B10" s="104" t="s">
        <v>41</v>
      </c>
      <c r="C10" s="93">
        <v>478</v>
      </c>
      <c r="D10" s="99">
        <v>7.1199999999999999E-2</v>
      </c>
      <c r="E10" s="100">
        <v>0.05</v>
      </c>
      <c r="F10" s="91">
        <f t="shared" si="0"/>
        <v>34.0336</v>
      </c>
      <c r="G10" s="97">
        <f t="shared" si="1"/>
        <v>23.900000000000002</v>
      </c>
      <c r="H10" s="95">
        <f t="shared" si="2"/>
        <v>467.8664</v>
      </c>
    </row>
    <row r="11" spans="1:12" ht="14.25" customHeight="1" thickBot="1">
      <c r="A11" s="105">
        <v>8</v>
      </c>
      <c r="B11" s="106" t="s">
        <v>42</v>
      </c>
      <c r="C11" s="94">
        <v>658</v>
      </c>
      <c r="D11" s="101">
        <v>5.9900000000000002E-2</v>
      </c>
      <c r="E11" s="102">
        <v>0.04</v>
      </c>
      <c r="F11" s="92">
        <f t="shared" si="0"/>
        <v>39.414200000000001</v>
      </c>
      <c r="G11" s="98">
        <f t="shared" si="1"/>
        <v>26.32</v>
      </c>
      <c r="H11" s="96">
        <f t="shared" si="2"/>
        <v>644.9058</v>
      </c>
      <c r="J11" s="14"/>
    </row>
    <row r="12" spans="1:12" ht="14.25" customHeight="1">
      <c r="A12" s="1"/>
      <c r="B12" s="1"/>
      <c r="C12" s="1"/>
      <c r="D12" s="1"/>
      <c r="E12" s="1"/>
      <c r="F12" s="1"/>
      <c r="G12" s="10"/>
      <c r="H12" s="1"/>
    </row>
    <row r="13" spans="1:12" ht="14.25" customHeight="1">
      <c r="A13" s="5" t="s">
        <v>16</v>
      </c>
      <c r="B13" s="1"/>
      <c r="C13" s="1"/>
      <c r="D13" s="1"/>
      <c r="E13" s="1"/>
      <c r="F13" s="1"/>
      <c r="G13" s="10"/>
      <c r="H13" s="135" t="s">
        <v>82</v>
      </c>
    </row>
    <row r="14" spans="1:12" ht="14.25" customHeight="1">
      <c r="A14" s="1"/>
      <c r="B14" s="2" t="s">
        <v>43</v>
      </c>
      <c r="C14" s="1"/>
      <c r="D14" s="1"/>
      <c r="E14" s="1"/>
      <c r="F14" s="1"/>
      <c r="G14" s="10"/>
      <c r="H14" s="135" t="s">
        <v>81</v>
      </c>
    </row>
    <row r="15" spans="1:12" ht="14.25" customHeight="1">
      <c r="A15" s="1"/>
      <c r="B15" s="2" t="s">
        <v>44</v>
      </c>
      <c r="C15" s="1"/>
      <c r="D15" s="1"/>
      <c r="E15" s="1"/>
      <c r="F15" s="1"/>
      <c r="G15" s="10"/>
      <c r="H15" s="1"/>
    </row>
    <row r="16" spans="1:12" ht="14.25" customHeight="1">
      <c r="A16" s="1"/>
      <c r="B16" s="2" t="s">
        <v>45</v>
      </c>
      <c r="C16" s="1"/>
      <c r="D16" s="1"/>
      <c r="E16" s="1"/>
      <c r="F16" s="1"/>
      <c r="G16" s="10"/>
      <c r="H16" s="1"/>
    </row>
    <row r="17" spans="1:8" ht="14.25" customHeight="1">
      <c r="A17" s="1"/>
      <c r="B17" s="2" t="s">
        <v>46</v>
      </c>
      <c r="C17" s="1"/>
      <c r="D17" s="1"/>
      <c r="E17" s="1"/>
      <c r="F17" s="1"/>
      <c r="G17" s="10"/>
      <c r="H17" s="1"/>
    </row>
  </sheetData>
  <mergeCells count="3">
    <mergeCell ref="A1:H1"/>
    <mergeCell ref="I3:L3"/>
    <mergeCell ref="I4:L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showGridLines="0" workbookViewId="0">
      <selection activeCell="G3" sqref="G3:K3"/>
    </sheetView>
  </sheetViews>
  <sheetFormatPr defaultRowHeight="14.25"/>
  <cols>
    <col min="1" max="1" width="18.5" style="9" bestFit="1" customWidth="1"/>
    <col min="2" max="2" width="16.375" style="9" customWidth="1"/>
    <col min="3" max="3" width="14.25" style="9" bestFit="1" customWidth="1"/>
    <col min="4" max="4" width="17.25" style="9" customWidth="1"/>
    <col min="5" max="5" width="20.375" style="9" customWidth="1"/>
    <col min="6" max="6" width="14.75" style="9" bestFit="1" customWidth="1"/>
    <col min="11" max="11" width="9.875" customWidth="1"/>
  </cols>
  <sheetData>
    <row r="1" spans="1:15" ht="27" customHeight="1" thickBot="1">
      <c r="A1" s="107" t="s">
        <v>25</v>
      </c>
      <c r="B1" s="108"/>
      <c r="C1" s="108"/>
      <c r="D1" s="108"/>
      <c r="E1" s="108"/>
      <c r="F1" s="109"/>
    </row>
    <row r="2" spans="1:15" ht="5.25" customHeight="1" thickBot="1">
      <c r="A2" s="49"/>
      <c r="B2" s="49"/>
      <c r="C2" s="49"/>
      <c r="D2" s="49"/>
      <c r="E2" s="49"/>
      <c r="F2" s="49"/>
    </row>
    <row r="3" spans="1:15" ht="17.25" customHeight="1" thickBot="1">
      <c r="A3" s="110" t="s">
        <v>80</v>
      </c>
      <c r="B3" s="111"/>
      <c r="C3" s="111"/>
      <c r="D3" s="111"/>
      <c r="E3" s="111"/>
      <c r="F3" s="112"/>
      <c r="G3" s="59"/>
      <c r="H3" s="58"/>
      <c r="I3" s="58"/>
      <c r="J3" s="58"/>
      <c r="K3" s="58"/>
      <c r="L3" s="61"/>
      <c r="M3" s="61"/>
      <c r="N3" s="61"/>
      <c r="O3" s="61"/>
    </row>
    <row r="4" spans="1:15" ht="15.75">
      <c r="A4" s="118"/>
      <c r="B4" s="119" t="s">
        <v>0</v>
      </c>
      <c r="C4" s="119" t="s">
        <v>1</v>
      </c>
      <c r="D4" s="119" t="s">
        <v>2</v>
      </c>
      <c r="E4" s="119" t="s">
        <v>3</v>
      </c>
      <c r="F4" s="120" t="s">
        <v>4</v>
      </c>
      <c r="G4" s="59"/>
      <c r="H4" s="58"/>
      <c r="I4" s="58"/>
      <c r="J4" s="58"/>
      <c r="K4" s="58"/>
    </row>
    <row r="5" spans="1:15" ht="16.5" thickBot="1">
      <c r="A5" s="55"/>
      <c r="B5" s="50">
        <v>140000</v>
      </c>
      <c r="C5" s="50">
        <v>185000</v>
      </c>
      <c r="D5" s="50">
        <v>204100</v>
      </c>
      <c r="E5" s="50">
        <v>240000</v>
      </c>
      <c r="F5" s="130">
        <f>SUM(B5:E5)</f>
        <v>769100</v>
      </c>
      <c r="H5" s="48"/>
    </row>
    <row r="6" spans="1:15" ht="6" customHeight="1" thickBot="1">
      <c r="A6" s="33"/>
      <c r="B6" s="33"/>
      <c r="C6" s="33"/>
      <c r="D6" s="33"/>
      <c r="E6" s="33"/>
      <c r="F6" s="33"/>
    </row>
    <row r="7" spans="1:15" ht="19.5" thickBot="1">
      <c r="A7" s="110" t="s">
        <v>5</v>
      </c>
      <c r="B7" s="113"/>
      <c r="C7" s="113"/>
      <c r="D7" s="113"/>
      <c r="E7" s="113"/>
      <c r="F7" s="114"/>
    </row>
    <row r="8" spans="1:15" ht="15.75">
      <c r="A8" s="115"/>
      <c r="B8" s="116" t="s">
        <v>0</v>
      </c>
      <c r="C8" s="116" t="s">
        <v>1</v>
      </c>
      <c r="D8" s="116" t="s">
        <v>2</v>
      </c>
      <c r="E8" s="116" t="s">
        <v>3</v>
      </c>
      <c r="F8" s="117" t="s">
        <v>4</v>
      </c>
    </row>
    <row r="9" spans="1:15" ht="15.75">
      <c r="A9" s="53" t="s">
        <v>6</v>
      </c>
      <c r="B9" s="54">
        <v>20000</v>
      </c>
      <c r="C9" s="54">
        <v>26000</v>
      </c>
      <c r="D9" s="54">
        <v>33800</v>
      </c>
      <c r="E9" s="54">
        <v>43940</v>
      </c>
      <c r="F9" s="56">
        <f>SUM(B9:E9)</f>
        <v>123740</v>
      </c>
      <c r="G9" s="59"/>
      <c r="H9" s="58"/>
      <c r="I9" s="58"/>
      <c r="J9" s="58"/>
      <c r="K9" s="58"/>
      <c r="L9" s="48"/>
    </row>
    <row r="10" spans="1:15" ht="15.75">
      <c r="A10" s="53" t="s">
        <v>7</v>
      </c>
      <c r="B10" s="54">
        <v>20000</v>
      </c>
      <c r="C10" s="54">
        <v>15600</v>
      </c>
      <c r="D10" s="54">
        <v>20280</v>
      </c>
      <c r="E10" s="54">
        <v>26364</v>
      </c>
      <c r="F10" s="51">
        <f t="shared" ref="F10:F14" si="0">SUM(B10:E10)</f>
        <v>82244</v>
      </c>
      <c r="G10" s="48"/>
      <c r="J10" s="48"/>
    </row>
    <row r="11" spans="1:15" ht="15.75">
      <c r="A11" s="53" t="s">
        <v>8</v>
      </c>
      <c r="B11" s="54">
        <v>12000</v>
      </c>
      <c r="C11" s="54">
        <v>20930</v>
      </c>
      <c r="D11" s="54">
        <v>27209</v>
      </c>
      <c r="E11" s="54">
        <v>35371.699999999997</v>
      </c>
      <c r="F11" s="51">
        <f t="shared" si="0"/>
        <v>95510.7</v>
      </c>
    </row>
    <row r="12" spans="1:15" ht="15.75">
      <c r="A12" s="53" t="s">
        <v>9</v>
      </c>
      <c r="B12" s="54">
        <v>16100</v>
      </c>
      <c r="C12" s="54">
        <v>28870</v>
      </c>
      <c r="D12" s="54">
        <v>33631</v>
      </c>
      <c r="E12" s="54">
        <v>43720.3</v>
      </c>
      <c r="F12" s="51">
        <f t="shared" si="0"/>
        <v>122321.3</v>
      </c>
    </row>
    <row r="13" spans="1:15" ht="15.75">
      <c r="A13" s="53" t="s">
        <v>10</v>
      </c>
      <c r="B13" s="54">
        <v>19900</v>
      </c>
      <c r="C13" s="54">
        <v>39000</v>
      </c>
      <c r="D13" s="54">
        <v>50700</v>
      </c>
      <c r="E13" s="54">
        <v>65910</v>
      </c>
      <c r="F13" s="51">
        <f t="shared" si="0"/>
        <v>175510</v>
      </c>
    </row>
    <row r="14" spans="1:15" ht="15.75">
      <c r="A14" s="53" t="s">
        <v>11</v>
      </c>
      <c r="B14" s="54">
        <v>25000</v>
      </c>
      <c r="C14" s="54">
        <v>32500</v>
      </c>
      <c r="D14" s="54">
        <v>42250</v>
      </c>
      <c r="E14" s="54">
        <v>54925</v>
      </c>
      <c r="F14" s="52">
        <f t="shared" si="0"/>
        <v>154675</v>
      </c>
    </row>
    <row r="15" spans="1:15" ht="16.5" thickBot="1">
      <c r="A15" s="121" t="s">
        <v>15</v>
      </c>
      <c r="B15" s="122"/>
      <c r="C15" s="122"/>
      <c r="D15" s="122"/>
      <c r="E15" s="122"/>
      <c r="F15" s="131">
        <f>SUM(F9:F14)</f>
        <v>754001</v>
      </c>
    </row>
    <row r="16" spans="1:15" ht="7.5" customHeight="1" thickBot="1">
      <c r="A16" s="33"/>
      <c r="B16" s="33"/>
      <c r="C16" s="33"/>
      <c r="D16" s="33"/>
      <c r="E16" s="33"/>
      <c r="F16" s="33"/>
    </row>
    <row r="17" spans="1:7" ht="15.75">
      <c r="A17" s="123" t="s">
        <v>12</v>
      </c>
      <c r="B17" s="126">
        <f>SUM(B9:B14)</f>
        <v>113000</v>
      </c>
      <c r="C17" s="126">
        <f>SUM(C9:C14)</f>
        <v>162900</v>
      </c>
      <c r="D17" s="126">
        <f>SUM(D9:D14)</f>
        <v>207870</v>
      </c>
      <c r="E17" s="127">
        <f>SUM(E9:E14)</f>
        <v>270231</v>
      </c>
      <c r="F17" s="33"/>
    </row>
    <row r="18" spans="1:7" ht="15.75">
      <c r="A18" s="124" t="s">
        <v>13</v>
      </c>
      <c r="B18" s="128">
        <f>B5-B17</f>
        <v>27000</v>
      </c>
      <c r="C18" s="128">
        <f>C5-C17</f>
        <v>22100</v>
      </c>
      <c r="D18" s="128">
        <f>D5-D17</f>
        <v>-3770</v>
      </c>
      <c r="E18" s="129">
        <f>E5-E17</f>
        <v>-30231</v>
      </c>
      <c r="F18" s="33"/>
    </row>
    <row r="19" spans="1:7" ht="16.5" thickBot="1">
      <c r="A19" s="125" t="s">
        <v>14</v>
      </c>
      <c r="B19" s="132" t="str">
        <f>_xlfn.IFS(B18&lt;1000, "Prejuízo Total", B18&lt;5000, "Lucro Médio", B18&gt;5000, "Lucro Total")</f>
        <v>Lucro Total</v>
      </c>
      <c r="C19" s="132" t="str">
        <f>_xlfn.IFS(C18&lt;1000, "Prejuízo Total", C18&lt;5000, "Lucro Médio", C18&gt;5000, "Lucro Total")</f>
        <v>Lucro Total</v>
      </c>
      <c r="D19" s="133" t="str">
        <f>_xlfn.IFS(D18&lt;1000, "Prejuízo Total", D18&lt;5000, "Lucro Médio", D18&gt;5000, "Lucro Total")</f>
        <v>Prejuízo Total</v>
      </c>
      <c r="E19" s="134" t="str">
        <f>_xlfn.IFS(E18&lt;1000, "Prejuízo Total", E18&lt;5000, "Lucro Médio", E18&gt;5000, "Lucro Total")</f>
        <v>Prejuízo Total</v>
      </c>
      <c r="F19" s="33"/>
    </row>
    <row r="20" spans="1:7">
      <c r="F20" s="10"/>
    </row>
    <row r="22" spans="1:7">
      <c r="D22" s="57"/>
      <c r="E22" s="57" t="s">
        <v>82</v>
      </c>
      <c r="F22" s="57"/>
      <c r="G22" s="9"/>
    </row>
    <row r="23" spans="1:7">
      <c r="E23" s="57" t="s">
        <v>81</v>
      </c>
    </row>
    <row r="24" spans="1:7" ht="15.75">
      <c r="A24" s="47" t="s">
        <v>16</v>
      </c>
      <c r="B24" s="10"/>
      <c r="C24" s="10"/>
      <c r="D24" s="10"/>
      <c r="E24" s="10"/>
      <c r="F24" s="10"/>
    </row>
    <row r="25" spans="1:7" ht="15">
      <c r="A25" s="10"/>
      <c r="B25" s="12" t="s">
        <v>17</v>
      </c>
      <c r="C25" s="10"/>
      <c r="D25" s="10"/>
      <c r="E25" s="10"/>
      <c r="F25" s="10"/>
    </row>
    <row r="26" spans="1:7" ht="15">
      <c r="A26" s="10"/>
      <c r="B26" s="12" t="s">
        <v>18</v>
      </c>
      <c r="C26" s="10"/>
      <c r="D26" s="10"/>
      <c r="E26" s="10"/>
      <c r="F26" s="10"/>
    </row>
    <row r="27" spans="1:7" ht="15">
      <c r="A27" s="10"/>
      <c r="B27" s="12" t="s">
        <v>19</v>
      </c>
      <c r="C27" s="10"/>
      <c r="D27" s="10"/>
      <c r="E27" s="10"/>
      <c r="F27" s="10"/>
    </row>
    <row r="28" spans="1:7" ht="15">
      <c r="A28" s="10"/>
      <c r="B28" s="12" t="s">
        <v>20</v>
      </c>
      <c r="C28" s="10"/>
      <c r="D28" s="10"/>
      <c r="E28" s="10"/>
      <c r="F28" s="10"/>
    </row>
    <row r="29" spans="1:7" ht="15">
      <c r="A29" s="10"/>
      <c r="B29" s="12" t="s">
        <v>21</v>
      </c>
      <c r="C29" s="10"/>
      <c r="D29" s="10"/>
      <c r="E29" s="10"/>
      <c r="F29" s="10"/>
    </row>
    <row r="30" spans="1:7" ht="15">
      <c r="A30" s="10"/>
      <c r="B30" s="12"/>
      <c r="C30" s="10"/>
      <c r="D30" s="10"/>
      <c r="E30" s="10"/>
      <c r="F30" s="10"/>
    </row>
    <row r="31" spans="1:7" ht="15">
      <c r="A31" s="10"/>
      <c r="B31" s="12" t="s">
        <v>22</v>
      </c>
      <c r="C31" s="10"/>
      <c r="D31" s="10"/>
      <c r="E31" s="10"/>
      <c r="F31" s="10"/>
    </row>
    <row r="32" spans="1:7" ht="15">
      <c r="A32" s="10"/>
      <c r="B32" s="12" t="s">
        <v>23</v>
      </c>
      <c r="C32" s="10"/>
      <c r="D32" s="10"/>
      <c r="E32" s="10"/>
      <c r="F32" s="10"/>
    </row>
    <row r="33" spans="1:6" ht="15">
      <c r="A33" s="10"/>
      <c r="B33" s="12" t="s">
        <v>24</v>
      </c>
      <c r="C33" s="10"/>
      <c r="D33" s="10"/>
      <c r="E33" s="10"/>
      <c r="F33" s="10"/>
    </row>
  </sheetData>
  <mergeCells count="8">
    <mergeCell ref="L3:O3"/>
    <mergeCell ref="G3:K3"/>
    <mergeCell ref="G4:K4"/>
    <mergeCell ref="A1:F1"/>
    <mergeCell ref="A15:E15"/>
    <mergeCell ref="A7:F7"/>
    <mergeCell ref="A3:F3"/>
    <mergeCell ref="G9:K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871EEBF6BE33469F40A072ACC18A3B" ma:contentTypeVersion="1" ma:contentTypeDescription="Crie um novo documento." ma:contentTypeScope="" ma:versionID="260cebe3603b1bd48dcbc60ac0c01e29">
  <xsd:schema xmlns:xsd="http://www.w3.org/2001/XMLSchema" xmlns:xs="http://www.w3.org/2001/XMLSchema" xmlns:p="http://schemas.microsoft.com/office/2006/metadata/properties" xmlns:ns2="69c3eebb-8466-47b5-8cdd-5ce7d3808eae" targetNamespace="http://schemas.microsoft.com/office/2006/metadata/properties" ma:root="true" ma:fieldsID="2f1bdf9beb42ee49b8e54b7cc5a304c5" ns2:_="">
    <xsd:import namespace="69c3eebb-8466-47b5-8cdd-5ce7d3808eae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3eebb-8466-47b5-8cdd-5ce7d3808ea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9c3eebb-8466-47b5-8cdd-5ce7d3808e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5768B1-C5B3-46F9-A1AF-5CCBE0BDBF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3eebb-8466-47b5-8cdd-5ce7d3808e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F43153-5B4B-4682-9AD1-E3BD0554C101}">
  <ds:schemaRefs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69c3eebb-8466-47b5-8cdd-5ce7d3808eae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8D32038-1B11-44EE-AC5B-47CC25D6F0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Execício 1</vt:lpstr>
      <vt:lpstr>Exercício 2</vt:lpstr>
      <vt:lpstr>Exercício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ROBERTO MADUREIRA JUNIOR</dc:creator>
  <cp:lastModifiedBy>EtecVAV</cp:lastModifiedBy>
  <dcterms:created xsi:type="dcterms:W3CDTF">2024-03-20T17:38:45Z</dcterms:created>
  <dcterms:modified xsi:type="dcterms:W3CDTF">2026-08-28T15:06:02Z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0x010100B7871EEBF6BE33469F40A072ACC18A3B</vt:lpwstr>
  </property>
</Properties>
</file>